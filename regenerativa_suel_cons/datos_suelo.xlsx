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ocuments\GitHub\pgd_cdmx\indicadores\regenerativa_suel_cons\"/>
    </mc:Choice>
  </mc:AlternateContent>
  <xr:revisionPtr revIDLastSave="0" documentId="13_ncr:1_{68909951-78F3-4849-873F-A82F81138B93}" xr6:coauthVersionLast="47" xr6:coauthVersionMax="47" xr10:uidLastSave="{00000000-0000-0000-0000-000000000000}"/>
  <bookViews>
    <workbookView xWindow="-120" yWindow="-120" windowWidth="29040" windowHeight="15720" activeTab="1" xr2:uid="{F9B60C5D-7E8C-45A1-92EB-E15D7FE0E8EF}"/>
  </bookViews>
  <sheets>
    <sheet name="vegeta_nat" sheetId="1" r:id="rId1"/>
    <sheet name="conectiv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B19" i="2" s="1"/>
  <c r="B20" i="2" s="1"/>
  <c r="B21" i="2" s="1"/>
  <c r="B22" i="2" s="1"/>
  <c r="B23" i="2" s="1"/>
  <c r="B24" i="2" s="1"/>
  <c r="B25" i="2" s="1"/>
  <c r="B26" i="2" s="1"/>
  <c r="B27" i="2" s="1"/>
  <c r="C18" i="2"/>
  <c r="B14" i="2" s="1"/>
  <c r="B15" i="2" s="1"/>
  <c r="B16" i="2" s="1"/>
  <c r="B17" i="2" s="1"/>
  <c r="C13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C28" i="1"/>
  <c r="B19" i="1"/>
  <c r="B20" i="1" s="1"/>
  <c r="B21" i="1" s="1"/>
  <c r="B22" i="1" s="1"/>
  <c r="B23" i="1" s="1"/>
  <c r="B24" i="1" s="1"/>
  <c r="B25" i="1" s="1"/>
  <c r="B26" i="1" s="1"/>
  <c r="B27" i="1" s="1"/>
  <c r="C18" i="1"/>
  <c r="B14" i="1"/>
  <c r="B15" i="1" s="1"/>
  <c r="B16" i="1" s="1"/>
  <c r="B17" i="1" s="1"/>
  <c r="C13" i="1"/>
  <c r="B3" i="1" s="1"/>
  <c r="B4" i="1" s="1"/>
  <c r="B5" i="1" s="1"/>
  <c r="B6" i="1" s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<sst xmlns="http://schemas.openxmlformats.org/spreadsheetml/2006/main" count="4" uniqueCount="3">
  <si>
    <t>periodo</t>
  </si>
  <si>
    <t>vegeta_nat</t>
  </si>
  <si>
    <t>conectividad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</si>
</sst>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98F2-1A76-42CD-86A5-302985FE211F}">
  <dimension ref="A1:C28"/>
  <sheetViews>
    <sheetView workbookViewId="0">
      <selection activeCell="B27" sqref="B2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>
        <v>2019</v>
      </c>
      <c r="B2">
        <v>41.17</v>
      </c>
    </row>
    <row r="3" spans="1:3" x14ac:dyDescent="0.25">
      <c r="A3">
        <v>2020</v>
      </c>
      <c r="B3">
        <f>B2+1*(B2*$C$13)</f>
        <v>41.244771839522286</v>
      </c>
    </row>
    <row r="4" spans="1:3" x14ac:dyDescent="0.25">
      <c r="A4">
        <v>2021</v>
      </c>
      <c r="B4">
        <f t="shared" ref="B4:B12" si="0">B3+1*(B3*$C$13)</f>
        <v>41.319679477635425</v>
      </c>
    </row>
    <row r="5" spans="1:3" x14ac:dyDescent="0.25">
      <c r="A5">
        <v>2022</v>
      </c>
      <c r="B5">
        <f t="shared" si="0"/>
        <v>41.394723160973143</v>
      </c>
    </row>
    <row r="6" spans="1:3" x14ac:dyDescent="0.25">
      <c r="A6">
        <v>2023</v>
      </c>
      <c r="B6">
        <f t="shared" si="0"/>
        <v>41.469903136617098</v>
      </c>
    </row>
    <row r="7" spans="1:3" x14ac:dyDescent="0.25">
      <c r="A7">
        <v>2024</v>
      </c>
      <c r="B7">
        <f t="shared" si="0"/>
        <v>41.545219652097686</v>
      </c>
    </row>
    <row r="8" spans="1:3" x14ac:dyDescent="0.25">
      <c r="A8">
        <v>2025</v>
      </c>
      <c r="B8">
        <f t="shared" si="0"/>
        <v>41.620672955394859</v>
      </c>
    </row>
    <row r="9" spans="1:3" x14ac:dyDescent="0.25">
      <c r="A9">
        <v>2026</v>
      </c>
      <c r="B9">
        <f t="shared" si="0"/>
        <v>41.696263294938952</v>
      </c>
    </row>
    <row r="10" spans="1:3" x14ac:dyDescent="0.25">
      <c r="A10">
        <v>2027</v>
      </c>
      <c r="B10">
        <f t="shared" si="0"/>
        <v>41.771990919611483</v>
      </c>
    </row>
    <row r="11" spans="1:3" x14ac:dyDescent="0.25">
      <c r="A11">
        <v>2028</v>
      </c>
      <c r="B11">
        <f t="shared" si="0"/>
        <v>41.847856078745984</v>
      </c>
    </row>
    <row r="12" spans="1:3" x14ac:dyDescent="0.25">
      <c r="A12">
        <v>2029</v>
      </c>
      <c r="B12">
        <f t="shared" si="0"/>
        <v>41.923859022128823</v>
      </c>
    </row>
    <row r="13" spans="1:3" x14ac:dyDescent="0.25">
      <c r="A13">
        <v>2030</v>
      </c>
      <c r="B13">
        <v>42</v>
      </c>
      <c r="C13">
        <f>(((B13/B2)^(1/(A13-A2)))-1)</f>
        <v>1.8161729298586948E-3</v>
      </c>
    </row>
    <row r="14" spans="1:3" x14ac:dyDescent="0.25">
      <c r="A14">
        <v>2031</v>
      </c>
      <c r="B14">
        <f>B13+1*(B13*$C$18)</f>
        <v>42.198122003518016</v>
      </c>
    </row>
    <row r="15" spans="1:3" x14ac:dyDescent="0.25">
      <c r="A15">
        <v>2032</v>
      </c>
      <c r="B15">
        <f t="shared" ref="B15:B17" si="1">B14+1*(B14*$C$18)</f>
        <v>42.397178586280745</v>
      </c>
    </row>
    <row r="16" spans="1:3" x14ac:dyDescent="0.25">
      <c r="A16">
        <v>2033</v>
      </c>
      <c r="B16">
        <f t="shared" si="1"/>
        <v>42.597174156876584</v>
      </c>
    </row>
    <row r="17" spans="1:3" x14ac:dyDescent="0.25">
      <c r="A17">
        <v>2034</v>
      </c>
      <c r="B17">
        <f t="shared" si="1"/>
        <v>42.798113144690063</v>
      </c>
    </row>
    <row r="18" spans="1:3" x14ac:dyDescent="0.25">
      <c r="A18">
        <v>2035</v>
      </c>
      <c r="B18">
        <v>43</v>
      </c>
      <c r="C18">
        <f>(((B18/B13)^(1/(A18-A13)))-1)</f>
        <v>4.7171905599527886E-3</v>
      </c>
    </row>
    <row r="19" spans="1:3" x14ac:dyDescent="0.25">
      <c r="A19">
        <v>2036</v>
      </c>
      <c r="B19">
        <f>B18+1*(B18*$C$28)</f>
        <v>43.195933250599964</v>
      </c>
    </row>
    <row r="20" spans="1:3" x14ac:dyDescent="0.25">
      <c r="A20">
        <v>2037</v>
      </c>
      <c r="B20">
        <f t="shared" ref="B20:B27" si="2">B19+1*(B19*$C$28)</f>
        <v>43.392759288146223</v>
      </c>
    </row>
    <row r="21" spans="1:3" x14ac:dyDescent="0.25">
      <c r="A21">
        <v>2038</v>
      </c>
      <c r="B21">
        <f t="shared" si="2"/>
        <v>43.590482180700363</v>
      </c>
    </row>
    <row r="22" spans="1:3" x14ac:dyDescent="0.25">
      <c r="A22">
        <v>2039</v>
      </c>
      <c r="B22">
        <f t="shared" si="2"/>
        <v>43.789106014860465</v>
      </c>
    </row>
    <row r="23" spans="1:3" x14ac:dyDescent="0.25">
      <c r="A23">
        <v>2040</v>
      </c>
      <c r="B23">
        <f t="shared" si="2"/>
        <v>43.988634895845536</v>
      </c>
    </row>
    <row r="24" spans="1:3" x14ac:dyDescent="0.25">
      <c r="A24">
        <v>2041</v>
      </c>
      <c r="B24">
        <f t="shared" si="2"/>
        <v>44.189072947580371</v>
      </c>
    </row>
    <row r="25" spans="1:3" x14ac:dyDescent="0.25">
      <c r="A25">
        <v>2042</v>
      </c>
      <c r="B25">
        <f t="shared" si="2"/>
        <v>44.390424312780794</v>
      </c>
    </row>
    <row r="26" spans="1:3" x14ac:dyDescent="0.25">
      <c r="A26">
        <v>2043</v>
      </c>
      <c r="B26">
        <f t="shared" si="2"/>
        <v>44.592693153039278</v>
      </c>
    </row>
    <row r="27" spans="1:3" x14ac:dyDescent="0.25">
      <c r="A27">
        <v>2044</v>
      </c>
      <c r="B27">
        <f t="shared" si="2"/>
        <v>44.795883648910944</v>
      </c>
    </row>
    <row r="28" spans="1:3" x14ac:dyDescent="0.25">
      <c r="A28">
        <v>2045</v>
      </c>
      <c r="B28">
        <v>45</v>
      </c>
      <c r="C28">
        <f>(((B28/B18)^(1/(A28-A18)))-1)</f>
        <v>4.5565872232549154E-3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5BF7-A4A2-4398-BFB2-5FB717F40A28}">
  <dimension ref="A1:C28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</row>
    <row r="2" spans="1:3" x14ac:dyDescent="0.25">
      <c r="A2">
        <v>2019</v>
      </c>
      <c r="B2">
        <v>35</v>
      </c>
    </row>
    <row r="3" spans="1:3" x14ac:dyDescent="0.25">
      <c r="A3">
        <v>2020</v>
      </c>
      <c r="B3">
        <f>B2+1*(B2*$C$13)</f>
        <v>35</v>
      </c>
    </row>
    <row r="4" spans="1:3" x14ac:dyDescent="0.25">
      <c r="A4">
        <v>2021</v>
      </c>
      <c r="B4">
        <f t="shared" ref="B4:B12" si="0">B3+1*(B3*$C$13)</f>
        <v>35</v>
      </c>
    </row>
    <row r="5" spans="1:3" x14ac:dyDescent="0.25">
      <c r="A5">
        <v>2022</v>
      </c>
      <c r="B5">
        <f t="shared" si="0"/>
        <v>35</v>
      </c>
    </row>
    <row r="6" spans="1:3" x14ac:dyDescent="0.25">
      <c r="A6">
        <v>2023</v>
      </c>
      <c r="B6">
        <f t="shared" si="0"/>
        <v>35</v>
      </c>
    </row>
    <row r="7" spans="1:3" x14ac:dyDescent="0.25">
      <c r="A7">
        <v>2024</v>
      </c>
      <c r="B7">
        <f t="shared" si="0"/>
        <v>35</v>
      </c>
    </row>
    <row r="8" spans="1:3" x14ac:dyDescent="0.25">
      <c r="A8">
        <v>2025</v>
      </c>
      <c r="B8">
        <f t="shared" si="0"/>
        <v>35</v>
      </c>
    </row>
    <row r="9" spans="1:3" x14ac:dyDescent="0.25">
      <c r="A9">
        <v>2026</v>
      </c>
      <c r="B9">
        <f t="shared" si="0"/>
        <v>35</v>
      </c>
    </row>
    <row r="10" spans="1:3" x14ac:dyDescent="0.25">
      <c r="A10">
        <v>2027</v>
      </c>
      <c r="B10">
        <f t="shared" si="0"/>
        <v>35</v>
      </c>
    </row>
    <row r="11" spans="1:3" x14ac:dyDescent="0.25">
      <c r="A11">
        <v>2028</v>
      </c>
      <c r="B11">
        <f t="shared" si="0"/>
        <v>35</v>
      </c>
    </row>
    <row r="12" spans="1:3" x14ac:dyDescent="0.25">
      <c r="A12">
        <v>2029</v>
      </c>
      <c r="B12">
        <f t="shared" si="0"/>
        <v>35</v>
      </c>
    </row>
    <row r="13" spans="1:3" x14ac:dyDescent="0.25">
      <c r="A13">
        <v>2030</v>
      </c>
      <c r="B13">
        <v>35</v>
      </c>
      <c r="C13">
        <f>(((B13/B2)^(1/(A13-A2)))-1)</f>
        <v>0</v>
      </c>
    </row>
    <row r="14" spans="1:3" x14ac:dyDescent="0.25">
      <c r="A14">
        <v>2031</v>
      </c>
      <c r="B14">
        <f>B13+1*(B13*$C$18)</f>
        <v>35.947313048127313</v>
      </c>
    </row>
    <row r="15" spans="1:3" x14ac:dyDescent="0.25">
      <c r="A15">
        <v>2032</v>
      </c>
      <c r="B15">
        <f t="shared" ref="B15:B17" si="1">B14+1*(B14*$C$18)</f>
        <v>36.920266153716121</v>
      </c>
    </row>
    <row r="16" spans="1:3" x14ac:dyDescent="0.25">
      <c r="A16">
        <v>2033</v>
      </c>
      <c r="B16">
        <f t="shared" si="1"/>
        <v>37.919553292794646</v>
      </c>
    </row>
    <row r="17" spans="1:3" x14ac:dyDescent="0.25">
      <c r="A17">
        <v>2034</v>
      </c>
      <c r="B17">
        <f t="shared" si="1"/>
        <v>38.945887224606743</v>
      </c>
    </row>
    <row r="18" spans="1:3" x14ac:dyDescent="0.25">
      <c r="A18">
        <v>2035</v>
      </c>
      <c r="B18">
        <v>40</v>
      </c>
      <c r="C18">
        <f>(((B18/B13)^(1/(A18-A13)))-1)</f>
        <v>2.7066087089351765E-2</v>
      </c>
    </row>
    <row r="19" spans="1:3" x14ac:dyDescent="0.25">
      <c r="A19">
        <v>2036</v>
      </c>
      <c r="B19">
        <f>B18+1*(B18*$C$28)</f>
        <v>41.655189759696427</v>
      </c>
    </row>
    <row r="20" spans="1:3" x14ac:dyDescent="0.25">
      <c r="A20">
        <v>2037</v>
      </c>
      <c r="B20">
        <f t="shared" ref="B20:B27" si="2">B19+1*(B19*$C$28)</f>
        <v>43.378870847907947</v>
      </c>
    </row>
    <row r="21" spans="1:3" x14ac:dyDescent="0.25">
      <c r="A21">
        <v>2038</v>
      </c>
      <c r="B21">
        <f t="shared" si="2"/>
        <v>45.173877418274223</v>
      </c>
    </row>
    <row r="22" spans="1:3" x14ac:dyDescent="0.25">
      <c r="A22">
        <v>2039</v>
      </c>
      <c r="B22">
        <f t="shared" si="2"/>
        <v>47.043160900986948</v>
      </c>
    </row>
    <row r="23" spans="1:3" x14ac:dyDescent="0.25">
      <c r="A23">
        <v>2040</v>
      </c>
      <c r="B23">
        <f t="shared" si="2"/>
        <v>48.989794855663568</v>
      </c>
    </row>
    <row r="24" spans="1:3" x14ac:dyDescent="0.25">
      <c r="A24">
        <v>2041</v>
      </c>
      <c r="B24">
        <f t="shared" si="2"/>
        <v>51.016980025031643</v>
      </c>
    </row>
    <row r="25" spans="1:3" x14ac:dyDescent="0.25">
      <c r="A25">
        <v>2042</v>
      </c>
      <c r="B25">
        <f t="shared" si="2"/>
        <v>53.12804959773338</v>
      </c>
    </row>
    <row r="26" spans="1:3" x14ac:dyDescent="0.25">
      <c r="A26">
        <v>2043</v>
      </c>
      <c r="B26">
        <f t="shared" si="2"/>
        <v>55.32647468890368</v>
      </c>
    </row>
    <row r="27" spans="1:3" x14ac:dyDescent="0.25">
      <c r="A27">
        <v>2044</v>
      </c>
      <c r="B27">
        <f t="shared" si="2"/>
        <v>57.6158700475331</v>
      </c>
    </row>
    <row r="28" spans="1:3" x14ac:dyDescent="0.25">
      <c r="A28">
        <v>2045</v>
      </c>
      <c r="B28">
        <v>60</v>
      </c>
      <c r="C28">
        <f>(((B28/B18)^(1/(A28-A18)))-1)</f>
        <v>4.1379743992410623E-2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vegeta_nat</vt:lpstr>
      <vt:lpstr>conectividad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Daniel Pacheco Castro</dc:creator>
  <cp:lastModifiedBy>Claudio Daniel Pacheco Castro</cp:lastModifiedBy>
  <dcterms:created xsi:type="dcterms:W3CDTF">2025-10-31T17:57:44Z</dcterms:created>
  <dcterms:modified xsi:type="dcterms:W3CDTF">2025-10-31T18:01:55Z</dcterms:modified>
</cp:coreProperties>
</file>